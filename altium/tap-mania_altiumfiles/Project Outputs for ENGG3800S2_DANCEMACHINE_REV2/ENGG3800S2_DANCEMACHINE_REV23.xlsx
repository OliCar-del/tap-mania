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olica\AppData\Local\Temp\"/>
    </mc:Choice>
  </mc:AlternateContent>
  <xr:revisionPtr revIDLastSave="0" documentId="8_{84E668C3-8F08-4B9B-9E0A-9CDBADFFABB2}" xr6:coauthVersionLast="47" xr6:coauthVersionMax="47" xr10:uidLastSave="{00000000-0000-0000-0000-000000000000}"/>
  <bookViews>
    <workbookView xWindow="28680" yWindow="-120" windowWidth="24240" windowHeight="13740" xr2:uid="{00000000-000D-0000-FFFF-FFFF00000000}"/>
  </bookViews>
  <sheets>
    <sheet name="B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1" l="1"/>
  <c r="E4" i="1"/>
  <c r="E3" i="1"/>
  <c r="E2" i="1"/>
</calcChain>
</file>

<file path=xl/sharedStrings.xml><?xml version="1.0" encoding="utf-8"?>
<sst xmlns="http://schemas.openxmlformats.org/spreadsheetml/2006/main" count="32" uniqueCount="31">
  <si>
    <t>Designator</t>
  </si>
  <si>
    <t>Description</t>
  </si>
  <si>
    <t>Quantity</t>
  </si>
  <si>
    <t>Price each</t>
  </si>
  <si>
    <t>Total price</t>
  </si>
  <si>
    <t>Manufacturer</t>
  </si>
  <si>
    <t>Manufacturer #</t>
  </si>
  <si>
    <t>Supplier</t>
  </si>
  <si>
    <t>Supplier #</t>
  </si>
  <si>
    <t>RoHS link</t>
  </si>
  <si>
    <t>U1</t>
  </si>
  <si>
    <t>0.9-5V Step down DC/DC module</t>
  </si>
  <si>
    <t>Murata Power Solutions</t>
  </si>
  <si>
    <t>OKL-T/1-W12N-C</t>
  </si>
  <si>
    <t>Digikey</t>
  </si>
  <si>
    <t>811-2260-1-ND</t>
  </si>
  <si>
    <t>https://www.digikey.com.au/product-detail/en/murata-power-solutions-inc/OKL-T-1-W12N-C/811-2260-1-ND/2605211</t>
  </si>
  <si>
    <t>U2</t>
  </si>
  <si>
    <t>Global shutter CMOS sensor</t>
  </si>
  <si>
    <t>On Semiconductor</t>
  </si>
  <si>
    <t>NOIP1FN1300A-QTI</t>
  </si>
  <si>
    <t>Mouser</t>
  </si>
  <si>
    <t>863-NOIP1FN1300A-QTI</t>
  </si>
  <si>
    <t>https://au.mouser.com/ProductDetail/ON-Semiconductor/NOIP1FN1300A-QTI?qs=sGAEpiMZZMvhQj7WZhFIAKgkkIGl%2FvRgng%2FQOGapeV1PNcKejQ3Dgg%3D%3D</t>
  </si>
  <si>
    <t>C1, C2</t>
  </si>
  <si>
    <t>0.1uF 0603 capacitor, X7R, 10%</t>
  </si>
  <si>
    <t>Taiyo Yuden</t>
  </si>
  <si>
    <t>TMF107B7104KAHT</t>
  </si>
  <si>
    <t>963-TMF107B7104KAHT</t>
  </si>
  <si>
    <t>https://au.mouser.com/ProductDetail/Taiyo-Yuden/TMF107B7104KAHT?qs=sGAEpiMZZMsG1k5vdNM%2Fcz%252BLT4tGQ2zZbPwsMYmzYn8%3D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</si>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</sst>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8" x14ac:knownFonts="1">
    <font>
      <sz val="10"/>
      <color rgb="FF000000"/>
      <name val="Arial"/>
    </font>
    <font>
      <b/>
      <sz val="10"/>
      <name val="Arial"/>
    </font>
    <font>
      <sz val="10"/>
      <color theme="1"/>
      <name val="Arial"/>
    </font>
    <font>
      <sz val="10"/>
      <name val="Arial"/>
    </font>
    <font>
      <sz val="10"/>
      <color rgb="FF444444"/>
      <name val="Arial"/>
    </font>
    <font>
      <sz val="10"/>
      <color rgb="FF444444"/>
      <name val="Arial"/>
    </font>
    <font>
      <u/>
      <sz val="10"/>
      <color rgb="FF0000FF"/>
      <name val="Arial"/>
    </font>
    <font>
      <sz val="10"/>
      <color rgb="FF333333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164" fontId="3" fillId="0" borderId="0" xfId="0" applyNumberFormat="1" applyFont="1"/>
    <xf numFmtId="164" fontId="2" fillId="0" borderId="0" xfId="0" applyNumberFormat="1" applyFont="1"/>
    <xf numFmtId="0" fontId="3" fillId="0" borderId="0" xfId="0" applyFont="1"/>
    <xf numFmtId="0" fontId="4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0" fontId="6" fillId="0" borderId="0" xfId="0" applyFont="1"/>
    <xf numFmtId="0" fontId="7" fillId="2" borderId="0" xfId="0" applyFont="1" applyFill="1"/>
    <xf numFmtId="0" fontId="2" fillId="3" borderId="0" xfId="0" applyFont="1" applyFill="1"/>
    <xf numFmtId="0" fontId="1" fillId="3" borderId="0" xfId="0" applyFont="1" applyFill="1"/>
    <xf numFmtId="164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u.mouser.com/ProductDetail/Taiyo-Yuden/TMF107B7104KAHT?qs=sGAEpiMZZMsG1k5vdNM%2Fcz%252BLT4tGQ2zZbPwsMYmzYn8%3D" TargetMode="External"/><Relationship Id="rId2" Type="http://schemas.openxmlformats.org/officeDocument/2006/relationships/hyperlink" Target="https://au.mouser.com/ProductDetail/ON-Semiconductor/NOIP1FN1300A-QTI?qs=sGAEpiMZZMvhQj7WZhFIAKgkkIGl%2FvRgng%2FQOGapeV1PNcKejQ3Dgg%3D%3D" TargetMode="External"/><Relationship Id="rId1" Type="http://schemas.openxmlformats.org/officeDocument/2006/relationships/hyperlink" Target="https://www.digikey.com.au/product-detail/en/murata-power-solutions-inc/OKL-T-1-W12N-C/811-2260-1-ND/26052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20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4.42578125" defaultRowHeight="15.75" customHeight="1" x14ac:dyDescent="0.2"/>
  <cols>
    <col min="1" max="1" width="10.85546875" customWidth="1"/>
    <col min="2" max="2" width="28.85546875" customWidth="1"/>
    <col min="3" max="3" width="8.7109375" customWidth="1"/>
    <col min="6" max="6" width="20.85546875" customWidth="1"/>
    <col min="7" max="7" width="22" customWidth="1"/>
    <col min="9" max="9" width="22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 t="s">
        <v>10</v>
      </c>
      <c r="B2" s="2" t="s">
        <v>11</v>
      </c>
      <c r="C2" s="2">
        <v>1</v>
      </c>
      <c r="D2" s="3">
        <v>4.74</v>
      </c>
      <c r="E2" s="4">
        <f t="shared" ref="E2:E4" si="0">D2*C2</f>
        <v>4.74</v>
      </c>
      <c r="F2" s="5" t="s">
        <v>12</v>
      </c>
      <c r="G2" s="6" t="s">
        <v>13</v>
      </c>
      <c r="H2" s="2" t="s">
        <v>14</v>
      </c>
      <c r="I2" s="7" t="s">
        <v>15</v>
      </c>
      <c r="J2" s="8" t="s">
        <v>16</v>
      </c>
    </row>
    <row r="3" spans="1:10" x14ac:dyDescent="0.2">
      <c r="A3" s="2" t="s">
        <v>17</v>
      </c>
      <c r="B3" s="2" t="s">
        <v>18</v>
      </c>
      <c r="C3" s="2">
        <v>1</v>
      </c>
      <c r="D3" s="3">
        <v>178.32</v>
      </c>
      <c r="E3" s="4">
        <f t="shared" si="0"/>
        <v>178.32</v>
      </c>
      <c r="F3" s="2" t="s">
        <v>19</v>
      </c>
      <c r="G3" s="9" t="s">
        <v>20</v>
      </c>
      <c r="H3" s="2" t="s">
        <v>21</v>
      </c>
      <c r="I3" s="9" t="s">
        <v>22</v>
      </c>
      <c r="J3" s="8" t="s">
        <v>23</v>
      </c>
    </row>
    <row r="4" spans="1:10" x14ac:dyDescent="0.2">
      <c r="A4" s="2" t="s">
        <v>24</v>
      </c>
      <c r="B4" s="5" t="s">
        <v>25</v>
      </c>
      <c r="C4" s="2">
        <v>2</v>
      </c>
      <c r="D4" s="4">
        <v>0.41299999999999998</v>
      </c>
      <c r="E4" s="4">
        <f t="shared" si="0"/>
        <v>0.82599999999999996</v>
      </c>
      <c r="F4" s="2" t="s">
        <v>26</v>
      </c>
      <c r="G4" s="9" t="s">
        <v>27</v>
      </c>
      <c r="H4" s="2" t="s">
        <v>21</v>
      </c>
      <c r="I4" s="9" t="s">
        <v>28</v>
      </c>
      <c r="J4" s="8" t="s">
        <v>29</v>
      </c>
    </row>
    <row r="20" spans="1:29" x14ac:dyDescent="0.2">
      <c r="A20" s="10"/>
      <c r="B20" s="10"/>
      <c r="C20" s="10"/>
      <c r="D20" s="11" t="s">
        <v>30</v>
      </c>
      <c r="E20" s="12">
        <f>SUM(E2:E4)</f>
        <v>183.886</v>
      </c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</row>
  </sheetData>
  <hyperlinks>
    <hyperlink ref="J2" r:id="rId1" xr:uid="{00000000-0004-0000-0000-000000000000}"/>
    <hyperlink ref="J3" r:id="rId2" xr:uid="{00000000-0004-0000-0000-000001000000}"/>
    <hyperlink ref="J4" r:id="rId3" xr:uid="{00000000-0004-0000-0000-00000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Oliver Carnew</cp:lastModifiedBy>
  <dcterms:created xsi:type="dcterms:W3CDTF">2025-09-09T09:14:39Z</dcterms:created>
  <dcterms:modified xsi:type="dcterms:W3CDTF">2025-09-09T09:14:39Z</dcterms:modified>
</cp:coreProperties>
</file>